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성 방법" sheetId="1" state="visible" r:id="rId1"/>
    <sheet name="문의 기록" sheetId="2" state="visible" r:id="rId2"/>
    <sheet name="집계" sheetId="3" state="visible" r:id="rId3"/>
  </sheets>
  <definedNames>
    <definedName name="_xlnm._FilterDatabase" localSheetId="1" hidden="1">'문의 기록'!$A$4:$F$35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b val="1"/>
      <color rgb="001F4E79"/>
      <sz val="12"/>
    </font>
    <font>
      <name val="맑은 고딕"/>
      <color rgb="00000000"/>
      <sz val="10"/>
    </font>
    <font>
      <name val="맑은 고딕"/>
      <b val="1"/>
      <color rgb="00000000"/>
      <sz val="10"/>
    </font>
    <font>
      <name val="맑은 고딕"/>
      <color rgb="00808080"/>
      <sz val="10"/>
    </font>
    <font>
      <name val="맑은 고딕"/>
      <color rgb="00000000"/>
      <sz val="9"/>
    </font>
    <font>
      <name val="맑은 고딕"/>
      <b val="1"/>
      <color rgb="001F4E79"/>
      <sz val="15"/>
    </font>
    <font>
      <name val="맑은 고딕"/>
      <color rgb="00808080"/>
      <sz val="9"/>
    </font>
    <font>
      <name val="맑은 고딕"/>
      <i val="1"/>
      <color rgb="00808080"/>
      <sz val="9"/>
    </font>
    <font>
      <name val="맑은 고딕"/>
      <b val="1"/>
      <color rgb="00000000"/>
      <sz val="11"/>
    </font>
    <font>
      <name val="맑은 고딕"/>
      <b val="1"/>
      <color rgb="001F4E79"/>
      <sz val="18"/>
    </font>
  </fonts>
  <fills count="10">
    <fill>
      <patternFill/>
    </fill>
    <fill>
      <patternFill patternType="gray125"/>
    </fill>
    <fill>
      <patternFill patternType="solid">
        <fgColor rgb="00D9E2EC"/>
      </patternFill>
    </fill>
    <fill>
      <patternFill patternType="solid">
        <fgColor rgb="00E3F2E3"/>
      </patternFill>
    </fill>
    <fill>
      <patternFill patternType="solid">
        <fgColor rgb="00E3EEF7"/>
      </patternFill>
    </fill>
    <fill>
      <patternFill patternType="solid">
        <fgColor rgb="00FBE4E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9D6"/>
      </patternFill>
    </fill>
    <fill>
      <patternFill patternType="solid">
        <fgColor rgb="00FFF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164" fontId="4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164" fontId="11" fillId="0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사전조사</author>
  </authors>
  <commentList>
    <comment ref="B4" authorId="0" shapeId="0">
      <text>
        <t>무엇을 물어봤는지 한 줄로. 정확하지 않아도 됩니다.</t>
      </text>
    </comment>
    <comment ref="D4" authorId="0" shapeId="0">
      <text>
        <t>실제로 어떻게 답했는지 기억나는 대로 짧게.
이 내용이 나중에 AI 정확도 측정 기준으로 쓰입니다.</t>
      </text>
    </comment>
    <comment ref="E4" authorId="0" shapeId="0">
      <text>
        <t>그때 무엇을 했는지만 떠올리세요.
① 규정을 찾아 알려줌
② 안내서·양식을 보내줌
③ 내가 판단해서 답함
④ 애매하면 여기</t>
      </text>
    </comment>
    <comment ref="F4" authorId="0" shapeId="0">
      <text>
        <t>같은 문의가 반복됐다면 "반복"이라고 적어주세요.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2:D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52" customWidth="1" min="3" max="3"/>
    <col width="34" customWidth="1" min="4" max="4"/>
  </cols>
  <sheetData>
    <row r="2">
      <c r="B2" s="1" t="inlineStr">
        <is>
          <t>문의 기록 — 작성 방법</t>
        </is>
      </c>
    </row>
    <row r="4">
      <c r="B4" s="2" t="inlineStr">
        <is>
          <t>무엇을 하는 건가요</t>
        </is>
      </c>
    </row>
    <row r="5">
      <c r="B5" s="3" t="inlineStr">
        <is>
          <t>국외근무직원 HR 에이전트를 만들기 전에, 담당자가 받는 문의 중</t>
        </is>
      </c>
    </row>
    <row r="6">
      <c r="B6" s="3" t="inlineStr">
        <is>
          <t>AI가 답할 수 있는 것이 얼마나 되는지 확인하는 사전 조사입니다.</t>
        </is>
      </c>
    </row>
    <row r="7">
      <c r="B7" s="3" t="inlineStr">
        <is>
          <t>이 결과에 따라 프로젝트를 진행할지 결정합니다.</t>
        </is>
      </c>
    </row>
    <row r="9">
      <c r="B9" s="2" t="inlineStr">
        <is>
          <t>어떻게 하면 되나요</t>
        </is>
      </c>
    </row>
    <row r="10">
      <c r="B10" s="4" t="inlineStr">
        <is>
          <t>1.</t>
        </is>
      </c>
      <c r="C10" s="3" t="inlineStr">
        <is>
          <t>최근 받은 문의 30건을 순서대로 뽑습니다. (메신저·메일·유선 모두 포함)</t>
        </is>
      </c>
    </row>
    <row r="11">
      <c r="B11" s="4" t="inlineStr">
        <is>
          <t>2.</t>
        </is>
      </c>
      <c r="C11" s="3" t="inlineStr">
        <is>
          <t>「문의 기록」 시트에 한 줄씩, 노란 칸 5개만 채웁니다.</t>
        </is>
      </c>
    </row>
    <row r="12">
      <c r="B12" s="4" t="inlineStr">
        <is>
          <t>3.</t>
        </is>
      </c>
      <c r="C12" s="3" t="inlineStr">
        <is>
          <t>"답변 내용"은 실제로 어떻게 답했는지 기억나는 대로 짧게 쓰면 됩니다.</t>
        </is>
      </c>
    </row>
    <row r="13">
      <c r="B13" s="4" t="inlineStr">
        <is>
          <t>4.</t>
        </is>
      </c>
      <c r="C13" s="3" t="inlineStr">
        <is>
          <t>"처리 방식"은 목록에서 고르기만 하면 됩니다.</t>
        </is>
      </c>
    </row>
    <row r="14">
      <c r="B14" s="4" t="inlineStr">
        <is>
          <t>5.</t>
        </is>
      </c>
      <c r="C14" s="3" t="inlineStr">
        <is>
          <t>다 채우면 「집계」 시트에 결과가 자동으로 나옵니다.</t>
        </is>
      </c>
    </row>
    <row r="17">
      <c r="B17" s="2" t="inlineStr">
        <is>
          <t>"처리 방식" 고르는 법</t>
        </is>
      </c>
    </row>
    <row r="18">
      <c r="B18" s="5" t="inlineStr">
        <is>
          <t>분류하려 애쓰지 마시고, 그때 실제로 무엇을 하셨는지만 떠올리세요.</t>
        </is>
      </c>
    </row>
    <row r="20">
      <c r="B20" s="6" t="inlineStr">
        <is>
          <t>선택지</t>
        </is>
      </c>
      <c r="C20" s="6" t="inlineStr">
        <is>
          <t>이럴 때 고르세요</t>
        </is>
      </c>
      <c r="D20" s="6" t="inlineStr">
        <is>
          <t>예시</t>
        </is>
      </c>
    </row>
    <row r="21" ht="56" customHeight="1">
      <c r="B21" s="7" t="inlineStr">
        <is>
          <t>① 규정을 찾아 알려줌</t>
        </is>
      </c>
      <c r="C21" s="8" t="inlineStr">
        <is>
          <t>규정집·지침을 찾아서
그 내용을 그대로 알려준 경우</t>
        </is>
      </c>
      <c r="D21" s="8" t="inlineStr">
        <is>
          <t>"주택수당 한도가 얼마죠?"
→ 규정 조항을 찾아 금액을 알려줌</t>
        </is>
      </c>
    </row>
    <row r="22" ht="56" customHeight="1">
      <c r="B22" s="9" t="inlineStr">
        <is>
          <t>② 안내서·양식을 보내줌</t>
        </is>
      </c>
      <c r="C22" s="8" t="inlineStr">
        <is>
          <t>우리 부서 안내서나 서류 양식을
보내주거나 절차를 알려준 경우</t>
        </is>
      </c>
      <c r="D22" s="8" t="inlineStr">
        <is>
          <t>"부임 전 서류 뭐 내야 하나요?"
→ 안내서와 양식 파일을 보내줌</t>
        </is>
      </c>
    </row>
    <row r="23" ht="56" customHeight="1">
      <c r="B23" s="10" t="inlineStr">
        <is>
          <t>③ 내가 판단해서 답함</t>
        </is>
      </c>
      <c r="C23" s="8" t="inlineStr">
        <is>
          <t>규정을 그 사람 상황에 맞춰
내가 판단해서 답한 경우.
HR에 물어본 경우도 여기입니다.</t>
        </is>
      </c>
      <c r="D23" s="8" t="inlineStr">
        <is>
          <t>"배우자가 현지 취업했는데
가족수당 되나요?"
→ 판단이 필요해 HR에 확인함</t>
        </is>
      </c>
    </row>
    <row r="24" ht="56" customHeight="1">
      <c r="B24" s="11" t="inlineStr">
        <is>
          <t>④ 잘 모르겠음</t>
        </is>
      </c>
      <c r="C24" s="8" t="inlineStr">
        <is>
          <t>위 셋 중 어디인지 애매한 경우.
억지로 고르지 마세요.</t>
        </is>
      </c>
      <c r="D24" s="8" t="inlineStr">
        <is>
          <t>애매한 문의가 어떤 것인지도
중요한 정보입니다</t>
        </is>
      </c>
    </row>
    <row r="27">
      <c r="B27" s="2" t="inlineStr">
        <is>
          <t>알아두시면 좋은 것</t>
        </is>
      </c>
    </row>
    <row r="28">
      <c r="B28" s="3" t="inlineStr">
        <is>
          <t>• 30건은 정확한 측정이 아니라 방향 확인용입니다. 완벽하지 않아도 됩니다.</t>
        </is>
      </c>
    </row>
    <row r="29">
      <c r="B29" s="3" t="inlineStr">
        <is>
          <t>• 기억이 흐릿하면 대충 적으셔도 괜찮습니다. 비어 있는 것보다 낫습니다.</t>
        </is>
      </c>
    </row>
    <row r="30">
      <c r="B30" s="3" t="inlineStr">
        <is>
          <t>• 여러 분이 나눠서 하셔도 됩니다. 한 분이 5~10건씩만 해도 충분합니다.</t>
        </is>
      </c>
    </row>
    <row r="31">
      <c r="B31" s="3" t="inlineStr">
        <is>
          <t>• 같은 문의가 반복됐다면 비고에 "반복"이라고 적어주세요. 자동으로 집계됩니다.</t>
        </is>
      </c>
    </row>
    <row r="32">
      <c r="B32" s="3" t="inlineStr">
        <is>
          <t>• 적어주신 답변 내용은 나중에 AI 정확도를 측정하는 기준 자료로도 씁니다.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F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3" customWidth="1" min="3" max="3"/>
    <col width="42" customWidth="1" min="4" max="4"/>
    <col width="24" customWidth="1" min="5" max="5"/>
    <col width="16" customWidth="1" min="6" max="6"/>
  </cols>
  <sheetData>
    <row r="1">
      <c r="A1" s="12" t="inlineStr">
        <is>
          <t>문의 기록 — 최근 30건</t>
        </is>
      </c>
    </row>
    <row r="2">
      <c r="A2" s="13" t="inlineStr">
        <is>
          <t>노란 칸 5개만 채우면 됩니다.  3~5행은 작성 예시이니 지우고 6행부터 쓰세요.</t>
        </is>
      </c>
    </row>
    <row r="4" ht="26" customHeight="1">
      <c r="A4" s="6" t="inlineStr">
        <is>
          <t>No</t>
        </is>
      </c>
      <c r="B4" s="6" t="inlineStr">
        <is>
          <t>문의 내용</t>
        </is>
      </c>
      <c r="C4" s="6" t="inlineStr">
        <is>
          <t>국가·점포</t>
        </is>
      </c>
      <c r="D4" s="6" t="inlineStr">
        <is>
          <t>답변 내용</t>
        </is>
      </c>
      <c r="E4" s="6" t="inlineStr">
        <is>
          <t>처리 방식</t>
        </is>
      </c>
      <c r="F4" s="6" t="inlineStr">
        <is>
          <t>비고</t>
        </is>
      </c>
    </row>
    <row r="5" ht="30" customHeight="1">
      <c r="A5" s="14" t="inlineStr">
        <is>
          <t>예시</t>
        </is>
      </c>
      <c r="B5" s="15" t="inlineStr">
        <is>
          <t>부임 전에 제출해야 하는 서류가 뭔지 문의</t>
        </is>
      </c>
      <c r="C5" s="15" t="inlineStr">
        <is>
          <t>인도네시아</t>
        </is>
      </c>
      <c r="D5" s="15" t="inlineStr">
        <is>
          <t>부임 안내서와 서류 양식 파일을 메일로 보내줌</t>
        </is>
      </c>
      <c r="E5" s="15" t="inlineStr">
        <is>
          <t>② 안내서·양식을 보내줌</t>
        </is>
      </c>
      <c r="F5" s="15" t="inlineStr">
        <is>
          <t>반복</t>
        </is>
      </c>
    </row>
    <row r="6" ht="30" customHeight="1">
      <c r="A6" s="16" t="n">
        <v>1</v>
      </c>
      <c r="B6" s="17" t="n"/>
      <c r="C6" s="17" t="n"/>
      <c r="D6" s="17" t="n"/>
      <c r="E6" s="17" t="n"/>
      <c r="F6" s="17" t="n"/>
    </row>
    <row r="7" ht="30" customHeight="1">
      <c r="A7" s="16" t="n">
        <v>2</v>
      </c>
      <c r="B7" s="17" t="n"/>
      <c r="C7" s="17" t="n"/>
      <c r="D7" s="17" t="n"/>
      <c r="E7" s="17" t="n"/>
      <c r="F7" s="17" t="n"/>
    </row>
    <row r="8" ht="30" customHeight="1">
      <c r="A8" s="16" t="n">
        <v>3</v>
      </c>
      <c r="B8" s="17" t="n"/>
      <c r="C8" s="17" t="n"/>
      <c r="D8" s="17" t="n"/>
      <c r="E8" s="17" t="n"/>
      <c r="F8" s="17" t="n"/>
    </row>
    <row r="9" ht="30" customHeight="1">
      <c r="A9" s="16" t="n">
        <v>4</v>
      </c>
      <c r="B9" s="17" t="n"/>
      <c r="C9" s="17" t="n"/>
      <c r="D9" s="17" t="n"/>
      <c r="E9" s="17" t="n"/>
      <c r="F9" s="17" t="n"/>
    </row>
    <row r="10" ht="30" customHeight="1">
      <c r="A10" s="16" t="n">
        <v>5</v>
      </c>
      <c r="B10" s="17" t="n"/>
      <c r="C10" s="17" t="n"/>
      <c r="D10" s="17" t="n"/>
      <c r="E10" s="17" t="n"/>
      <c r="F10" s="17" t="n"/>
    </row>
    <row r="11" ht="30" customHeight="1">
      <c r="A11" s="16" t="n">
        <v>6</v>
      </c>
      <c r="B11" s="17" t="n"/>
      <c r="C11" s="17" t="n"/>
      <c r="D11" s="17" t="n"/>
      <c r="E11" s="17" t="n"/>
      <c r="F11" s="17" t="n"/>
    </row>
    <row r="12" ht="30" customHeight="1">
      <c r="A12" s="16" t="n">
        <v>7</v>
      </c>
      <c r="B12" s="17" t="n"/>
      <c r="C12" s="17" t="n"/>
      <c r="D12" s="17" t="n"/>
      <c r="E12" s="17" t="n"/>
      <c r="F12" s="17" t="n"/>
    </row>
    <row r="13" ht="30" customHeight="1">
      <c r="A13" s="16" t="n">
        <v>8</v>
      </c>
      <c r="B13" s="17" t="n"/>
      <c r="C13" s="17" t="n"/>
      <c r="D13" s="17" t="n"/>
      <c r="E13" s="17" t="n"/>
      <c r="F13" s="17" t="n"/>
    </row>
    <row r="14" ht="30" customHeight="1">
      <c r="A14" s="16" t="n">
        <v>9</v>
      </c>
      <c r="B14" s="17" t="n"/>
      <c r="C14" s="17" t="n"/>
      <c r="D14" s="17" t="n"/>
      <c r="E14" s="17" t="n"/>
      <c r="F14" s="17" t="n"/>
    </row>
    <row r="15" ht="30" customHeight="1">
      <c r="A15" s="16" t="n">
        <v>10</v>
      </c>
      <c r="B15" s="17" t="n"/>
      <c r="C15" s="17" t="n"/>
      <c r="D15" s="17" t="n"/>
      <c r="E15" s="17" t="n"/>
      <c r="F15" s="17" t="n"/>
    </row>
    <row r="16" ht="30" customHeight="1">
      <c r="A16" s="16" t="n">
        <v>11</v>
      </c>
      <c r="B16" s="17" t="n"/>
      <c r="C16" s="17" t="n"/>
      <c r="D16" s="17" t="n"/>
      <c r="E16" s="17" t="n"/>
      <c r="F16" s="17" t="n"/>
    </row>
    <row r="17" ht="30" customHeight="1">
      <c r="A17" s="16" t="n">
        <v>12</v>
      </c>
      <c r="B17" s="17" t="n"/>
      <c r="C17" s="17" t="n"/>
      <c r="D17" s="17" t="n"/>
      <c r="E17" s="17" t="n"/>
      <c r="F17" s="17" t="n"/>
    </row>
    <row r="18" ht="30" customHeight="1">
      <c r="A18" s="16" t="n">
        <v>13</v>
      </c>
      <c r="B18" s="17" t="n"/>
      <c r="C18" s="17" t="n"/>
      <c r="D18" s="17" t="n"/>
      <c r="E18" s="17" t="n"/>
      <c r="F18" s="17" t="n"/>
    </row>
    <row r="19" ht="30" customHeight="1">
      <c r="A19" s="16" t="n">
        <v>14</v>
      </c>
      <c r="B19" s="17" t="n"/>
      <c r="C19" s="17" t="n"/>
      <c r="D19" s="17" t="n"/>
      <c r="E19" s="17" t="n"/>
      <c r="F19" s="17" t="n"/>
    </row>
    <row r="20" ht="30" customHeight="1">
      <c r="A20" s="16" t="n">
        <v>15</v>
      </c>
      <c r="B20" s="17" t="n"/>
      <c r="C20" s="17" t="n"/>
      <c r="D20" s="17" t="n"/>
      <c r="E20" s="17" t="n"/>
      <c r="F20" s="17" t="n"/>
    </row>
    <row r="21" ht="30" customHeight="1">
      <c r="A21" s="16" t="n">
        <v>16</v>
      </c>
      <c r="B21" s="17" t="n"/>
      <c r="C21" s="17" t="n"/>
      <c r="D21" s="17" t="n"/>
      <c r="E21" s="17" t="n"/>
      <c r="F21" s="17" t="n"/>
    </row>
    <row r="22" ht="30" customHeight="1">
      <c r="A22" s="16" t="n">
        <v>17</v>
      </c>
      <c r="B22" s="17" t="n"/>
      <c r="C22" s="17" t="n"/>
      <c r="D22" s="17" t="n"/>
      <c r="E22" s="17" t="n"/>
      <c r="F22" s="17" t="n"/>
    </row>
    <row r="23" ht="30" customHeight="1">
      <c r="A23" s="16" t="n">
        <v>18</v>
      </c>
      <c r="B23" s="17" t="n"/>
      <c r="C23" s="17" t="n"/>
      <c r="D23" s="17" t="n"/>
      <c r="E23" s="17" t="n"/>
      <c r="F23" s="17" t="n"/>
    </row>
    <row r="24" ht="30" customHeight="1">
      <c r="A24" s="16" t="n">
        <v>19</v>
      </c>
      <c r="B24" s="17" t="n"/>
      <c r="C24" s="17" t="n"/>
      <c r="D24" s="17" t="n"/>
      <c r="E24" s="17" t="n"/>
      <c r="F24" s="17" t="n"/>
    </row>
    <row r="25" ht="30" customHeight="1">
      <c r="A25" s="16" t="n">
        <v>20</v>
      </c>
      <c r="B25" s="17" t="n"/>
      <c r="C25" s="17" t="n"/>
      <c r="D25" s="17" t="n"/>
      <c r="E25" s="17" t="n"/>
      <c r="F25" s="17" t="n"/>
    </row>
    <row r="26" ht="30" customHeight="1">
      <c r="A26" s="16" t="n">
        <v>21</v>
      </c>
      <c r="B26" s="17" t="n"/>
      <c r="C26" s="17" t="n"/>
      <c r="D26" s="17" t="n"/>
      <c r="E26" s="17" t="n"/>
      <c r="F26" s="17" t="n"/>
    </row>
    <row r="27" ht="30" customHeight="1">
      <c r="A27" s="16" t="n">
        <v>22</v>
      </c>
      <c r="B27" s="17" t="n"/>
      <c r="C27" s="17" t="n"/>
      <c r="D27" s="17" t="n"/>
      <c r="E27" s="17" t="n"/>
      <c r="F27" s="17" t="n"/>
    </row>
    <row r="28" ht="30" customHeight="1">
      <c r="A28" s="16" t="n">
        <v>23</v>
      </c>
      <c r="B28" s="17" t="n"/>
      <c r="C28" s="17" t="n"/>
      <c r="D28" s="17" t="n"/>
      <c r="E28" s="17" t="n"/>
      <c r="F28" s="17" t="n"/>
    </row>
    <row r="29" ht="30" customHeight="1">
      <c r="A29" s="16" t="n">
        <v>24</v>
      </c>
      <c r="B29" s="17" t="n"/>
      <c r="C29" s="17" t="n"/>
      <c r="D29" s="17" t="n"/>
      <c r="E29" s="17" t="n"/>
      <c r="F29" s="17" t="n"/>
    </row>
    <row r="30" ht="30" customHeight="1">
      <c r="A30" s="16" t="n">
        <v>25</v>
      </c>
      <c r="B30" s="17" t="n"/>
      <c r="C30" s="17" t="n"/>
      <c r="D30" s="17" t="n"/>
      <c r="E30" s="17" t="n"/>
      <c r="F30" s="17" t="n"/>
    </row>
    <row r="31" ht="30" customHeight="1">
      <c r="A31" s="16" t="n">
        <v>26</v>
      </c>
      <c r="B31" s="17" t="n"/>
      <c r="C31" s="17" t="n"/>
      <c r="D31" s="17" t="n"/>
      <c r="E31" s="17" t="n"/>
      <c r="F31" s="17" t="n"/>
    </row>
    <row r="32" ht="30" customHeight="1">
      <c r="A32" s="16" t="n">
        <v>27</v>
      </c>
      <c r="B32" s="17" t="n"/>
      <c r="C32" s="17" t="n"/>
      <c r="D32" s="17" t="n"/>
      <c r="E32" s="17" t="n"/>
      <c r="F32" s="17" t="n"/>
    </row>
    <row r="33" ht="30" customHeight="1">
      <c r="A33" s="16" t="n">
        <v>28</v>
      </c>
      <c r="B33" s="17" t="n"/>
      <c r="C33" s="17" t="n"/>
      <c r="D33" s="17" t="n"/>
      <c r="E33" s="17" t="n"/>
      <c r="F33" s="17" t="n"/>
    </row>
    <row r="34" ht="30" customHeight="1">
      <c r="A34" s="16" t="n">
        <v>29</v>
      </c>
      <c r="B34" s="17" t="n"/>
      <c r="C34" s="17" t="n"/>
      <c r="D34" s="17" t="n"/>
      <c r="E34" s="17" t="n"/>
      <c r="F34" s="17" t="n"/>
    </row>
    <row r="35" ht="30" customHeight="1">
      <c r="A35" s="16" t="n">
        <v>30</v>
      </c>
      <c r="B35" s="17" t="n"/>
      <c r="C35" s="17" t="n"/>
      <c r="D35" s="17" t="n"/>
      <c r="E35" s="17" t="n"/>
      <c r="F35" s="17" t="n"/>
    </row>
  </sheetData>
  <autoFilter ref="A4:F35"/>
  <dataValidations count="1">
    <dataValidation sqref="E6:E35" showDropDown="0" showInputMessage="0" showErrorMessage="1" allowBlank="1" errorTitle="목록에서 선택" error="오른쪽 화살표를 눌러 목록에서 골라주세요." type="list">
      <formula1>"① 규정을 찾아 알려줌,② 안내서·양식을 보내줌,③ 내가 판단해서 답함,④ 잘 모르겠음"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B2:E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  <col width="12" customWidth="1" min="4" max="4"/>
    <col width="42" customWidth="1" min="5" max="5"/>
  </cols>
  <sheetData>
    <row r="2">
      <c r="B2" s="1" t="inlineStr">
        <is>
          <t>집계 결과</t>
        </is>
      </c>
    </row>
    <row r="3">
      <c r="B3" s="13" t="inlineStr">
        <is>
          <t>「문의 기록」 시트를 채우면 자동으로 계산됩니다.</t>
        </is>
      </c>
    </row>
    <row r="5">
      <c r="B5" s="2" t="inlineStr">
        <is>
          <t>① 처리 방식 분포</t>
        </is>
      </c>
    </row>
    <row r="6">
      <c r="B6" s="6" t="inlineStr">
        <is>
          <t>처리 방식</t>
        </is>
      </c>
      <c r="C6" s="6" t="inlineStr">
        <is>
          <t>건수</t>
        </is>
      </c>
      <c r="D6" s="6" t="inlineStr">
        <is>
          <t>비율</t>
        </is>
      </c>
    </row>
    <row r="7">
      <c r="B7" s="18" t="inlineStr">
        <is>
          <t>① 규정을 찾아 알려줌</t>
        </is>
      </c>
      <c r="C7" s="19">
        <f>COUNTIF('문의 기록'!$E$6:$E$35,"① 규정을 찾아 알려줌")</f>
        <v/>
      </c>
      <c r="D7" s="20">
        <f>IFERROR(C7/$C$11,0)</f>
        <v/>
      </c>
    </row>
    <row r="8">
      <c r="B8" s="21" t="inlineStr">
        <is>
          <t>② 안내서·양식을 보내줌</t>
        </is>
      </c>
      <c r="C8" s="19">
        <f>COUNTIF('문의 기록'!$E$6:$E$35,"② 안내서·양식을 보내줌")</f>
        <v/>
      </c>
      <c r="D8" s="20">
        <f>IFERROR(C8/$C$11,0)</f>
        <v/>
      </c>
    </row>
    <row r="9">
      <c r="B9" s="22" t="inlineStr">
        <is>
          <t>③ 내가 판단해서 답함</t>
        </is>
      </c>
      <c r="C9" s="19">
        <f>COUNTIF('문의 기록'!$E$6:$E$35,"③ 내가 판단해서 답함")</f>
        <v/>
      </c>
      <c r="D9" s="20">
        <f>IFERROR(C9/$C$11,0)</f>
        <v/>
      </c>
    </row>
    <row r="10">
      <c r="B10" s="23" t="inlineStr">
        <is>
          <t>④ 잘 모르겠음</t>
        </is>
      </c>
      <c r="C10" s="19">
        <f>COUNTIF('문의 기록'!$E$6:$E$35,"④ 잘 모르겠음")</f>
        <v/>
      </c>
      <c r="D10" s="20">
        <f>IFERROR(C10/$C$11,0)</f>
        <v/>
      </c>
    </row>
    <row r="11">
      <c r="B11" s="24" t="inlineStr">
        <is>
          <t>합계</t>
        </is>
      </c>
      <c r="C11" s="6">
        <f>COUNTA('문의 기록'!$E$6:$E$35)</f>
        <v/>
      </c>
      <c r="D11" s="25">
        <f>IFERROR(C11/$C$11,0)</f>
        <v/>
      </c>
    </row>
    <row r="13">
      <c r="B13" s="2" t="inlineStr">
        <is>
          <t>② 핵심 지표</t>
        </is>
      </c>
    </row>
    <row r="14" ht="40" customHeight="1">
      <c r="B14" s="26" t="inlineStr">
        <is>
          <t>AI가 답할 수 있는 비율
(①+②)</t>
        </is>
      </c>
      <c r="C14" s="27">
        <f>IFERROR((C7+C8)/$C$11,0)</f>
        <v/>
      </c>
      <c r="E14" s="5" t="inlineStr">
        <is>
          <t>← 이 숫자 하나가 진행 여부를 결정합니다</t>
        </is>
      </c>
    </row>
    <row r="15" ht="26" customHeight="1">
      <c r="B15" s="28" t="inlineStr">
        <is>
          <t>판정</t>
        </is>
      </c>
      <c r="C15" s="29">
        <f>IF($C$11=0,"입력 대기",IF(C14&gt;=0.7,"진행 — 구축 착수",IF(C14&gt;=0.5,"재검토 — 범위 조정 필요","중단 검토 — 다른 접근 필요")))</f>
        <v/>
      </c>
      <c r="D15" s="30" t="n"/>
      <c r="E15" s="31" t="n"/>
    </row>
    <row r="16">
      <c r="B16" s="32" t="inlineStr">
        <is>
          <t>"잘 모르겠음" 비율</t>
        </is>
      </c>
      <c r="C16" s="20">
        <f>IFERROR(C10/$C$11,0)</f>
        <v/>
      </c>
      <c r="E16" s="13" t="inlineStr">
        <is>
          <t>20%를 넘으면 선택지 설명을 다듬어야 합니다</t>
        </is>
      </c>
    </row>
    <row r="17">
      <c r="B17" s="32" t="inlineStr">
        <is>
          <t>반복 문의 건수</t>
        </is>
      </c>
      <c r="C17" s="19">
        <f>COUNTIF('문의 기록'!$F$6:$F$35,"*반복*")</f>
        <v/>
      </c>
      <c r="E17" s="13" t="inlineStr">
        <is>
          <t>많을수록 셀프서비스 효과가 큽니다</t>
        </is>
      </c>
    </row>
    <row r="19">
      <c r="B19" s="2" t="inlineStr">
        <is>
          <t>③ 판정 기준</t>
        </is>
      </c>
    </row>
    <row r="20">
      <c r="B20" s="6" t="inlineStr">
        <is>
          <t>①+② 비율</t>
        </is>
      </c>
      <c r="C20" s="33" t="inlineStr">
        <is>
          <t>의미</t>
        </is>
      </c>
      <c r="D20" s="30" t="n"/>
      <c r="E20" s="31" t="n"/>
    </row>
    <row r="21">
      <c r="B21" s="34" t="inlineStr">
        <is>
          <t>70% 이상</t>
        </is>
      </c>
      <c r="C21" s="35" t="inlineStr">
        <is>
          <t>문의 대부분을 AI가 답할 수 있음 → 진행</t>
        </is>
      </c>
      <c r="D21" s="30" t="n"/>
      <c r="E21" s="31" t="n"/>
    </row>
    <row r="22">
      <c r="B22" s="36" t="inlineStr">
        <is>
          <t>50 ~ 70%</t>
        </is>
      </c>
      <c r="C22" s="35" t="inlineStr">
        <is>
          <t>효과는 있으나 범위 조정 필요 → ③으로 분류된 문의를 살펴봄</t>
        </is>
      </c>
      <c r="D22" s="30" t="n"/>
      <c r="E22" s="31" t="n"/>
    </row>
    <row r="23">
      <c r="B23" s="37" t="inlineStr">
        <is>
          <t>50% 미만</t>
        </is>
      </c>
      <c r="C23" s="35" t="inlineStr">
        <is>
          <t>규정 Q&amp;A로는 효과가 작음 → 다른 접근 검토</t>
        </is>
      </c>
      <c r="D23" s="30" t="n"/>
      <c r="E23" s="31" t="n"/>
    </row>
    <row r="26">
      <c r="B26" s="2" t="inlineStr">
        <is>
          <t>④ 국가·점포별 분포 (참고)</t>
        </is>
      </c>
    </row>
    <row r="27">
      <c r="B27" s="13" t="inlineStr">
        <is>
          <t>아래 국가명을 실제 기록에 맞게 고쳐 쓰세요.</t>
        </is>
      </c>
    </row>
    <row r="28">
      <c r="B28" s="6" t="inlineStr">
        <is>
          <t>국가·점포</t>
        </is>
      </c>
      <c r="C28" s="6" t="inlineStr">
        <is>
          <t>건수</t>
        </is>
      </c>
      <c r="D28" s="6" t="inlineStr">
        <is>
          <t>비율</t>
        </is>
      </c>
    </row>
    <row r="29">
      <c r="B29" s="38" t="inlineStr">
        <is>
          <t>인도네시아</t>
        </is>
      </c>
      <c r="C29" s="19">
        <f>COUNTIF('문의 기록'!$C$6:$C$35,B29)</f>
        <v/>
      </c>
      <c r="D29" s="20">
        <f>IFERROR(C29/$C$11,0)</f>
        <v/>
      </c>
    </row>
    <row r="30">
      <c r="B30" s="38" t="inlineStr">
        <is>
          <t>캄보디아</t>
        </is>
      </c>
      <c r="C30" s="19">
        <f>COUNTIF('문의 기록'!$C$6:$C$35,B30)</f>
        <v/>
      </c>
      <c r="D30" s="20">
        <f>IFERROR(C30/$C$11,0)</f>
        <v/>
      </c>
    </row>
    <row r="31">
      <c r="B31" s="38" t="inlineStr">
        <is>
          <t>런던</t>
        </is>
      </c>
      <c r="C31" s="19">
        <f>COUNTIF('문의 기록'!$C$6:$C$35,B31)</f>
        <v/>
      </c>
      <c r="D31" s="20">
        <f>IFERROR(C31/$C$11,0)</f>
        <v/>
      </c>
    </row>
    <row r="32">
      <c r="B32" s="38" t="inlineStr">
        <is>
          <t>홍콩</t>
        </is>
      </c>
      <c r="C32" s="19">
        <f>COUNTIF('문의 기록'!$C$6:$C$35,B32)</f>
        <v/>
      </c>
      <c r="D32" s="20">
        <f>IFERROR(C32/$C$11,0)</f>
        <v/>
      </c>
    </row>
    <row r="33">
      <c r="B33" s="38" t="inlineStr">
        <is>
          <t>기타</t>
        </is>
      </c>
      <c r="C33" s="19">
        <f>COUNTIF('문의 기록'!$C$6:$C$35,B33)</f>
        <v/>
      </c>
      <c r="D33" s="20">
        <f>IFERROR(C33/$C$11,0)</f>
        <v/>
      </c>
    </row>
    <row r="36">
      <c r="B36" s="2" t="inlineStr">
        <is>
          <t>다음 단계</t>
        </is>
      </c>
    </row>
    <row r="37">
      <c r="B37" s="39" t="inlineStr">
        <is>
          <t>•</t>
        </is>
      </c>
      <c r="C37" s="40" t="inlineStr">
        <is>
          <t>70% 이상 → PRD대로 구축을 시작합니다.</t>
        </is>
      </c>
    </row>
    <row r="38">
      <c r="B38" s="39" t="inlineStr">
        <is>
          <t>•</t>
        </is>
      </c>
      <c r="C38" s="40" t="inlineStr">
        <is>
          <t>50~70% → ③으로 분류된 문의만 모아 어떤 유형인지 보고, 그 부분을 범위에서 뺍니다.</t>
        </is>
      </c>
    </row>
    <row r="39">
      <c r="B39" s="39" t="inlineStr">
        <is>
          <t>•</t>
        </is>
      </c>
      <c r="C39" s="40" t="inlineStr">
        <is>
          <t>50% 미만 → 규정 Q&amp;A 말고 다른 접근을 찾습니다.</t>
        </is>
      </c>
    </row>
    <row r="40">
      <c r="B40" s="39" t="inlineStr">
        <is>
          <t>•</t>
        </is>
      </c>
      <c r="C40" s="40" t="inlineStr">
        <is>
          <t>적어주신 "답변 내용" 30건은 AI 정확도 측정용 기준 자료로 그대로 활용합니다.</t>
        </is>
      </c>
    </row>
  </sheetData>
  <mergeCells count="9">
    <mergeCell ref="C37:E37"/>
    <mergeCell ref="C23:E23"/>
    <mergeCell ref="C22:E22"/>
    <mergeCell ref="C39:E39"/>
    <mergeCell ref="C40:E40"/>
    <mergeCell ref="C21:E21"/>
    <mergeCell ref="C20:E20"/>
    <mergeCell ref="C15:E15"/>
    <mergeCell ref="C38:E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2026-07-31T00:18:28Z</dcterms:created>
  <dcterms:modified xsi:type="dcterms:W3CDTF">2026-07-31T00:18:28Z</dcterms:modified>
</cp:coreProperties>
</file>