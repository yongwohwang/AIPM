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 가이드" sheetId="1" state="visible" r:id="rId1"/>
    <sheet name="문의 분류" sheetId="2" state="visible" r:id="rId2"/>
    <sheet name="집계" sheetId="3" state="visible" r:id="rId3"/>
  </sheets>
  <definedNames>
    <definedName name="_xlnm._FilterDatabase" localSheetId="1" hidden="1">'문의 분류'!$A$4:$L$35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10"/>
    </font>
    <font>
      <name val="맑은 고딕"/>
      <b val="1"/>
      <color rgb="001F4E79"/>
      <sz val="12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2E6B2E"/>
      <sz val="10"/>
    </font>
    <font>
      <name val="맑은 고딕"/>
      <color rgb="00808080"/>
      <sz val="9"/>
    </font>
    <font>
      <name val="맑은 고딕"/>
      <b val="1"/>
      <color rgb="001F4E79"/>
      <sz val="15"/>
    </font>
    <font>
      <name val="맑은 고딕"/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E3F2E3"/>
      </patternFill>
    </fill>
    <fill>
      <patternFill patternType="solid">
        <fgColor rgb="00E3EEF7"/>
      </patternFill>
    </fill>
    <fill>
      <patternFill patternType="solid">
        <fgColor rgb="00FBE4E4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F0F0F0"/>
      </patternFill>
    </fill>
    <fill>
      <patternFill patternType="solid">
        <fgColor rgb="00FFF9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PRD</author>
  </authors>
  <commentList>
    <comment ref="G4" authorId="0" shapeId="0">
      <text>
        <t>L1 = 규정 원문을 읽어주면 되는 문의
L2 = 우리 부서 절차·양식 안내
L3 = 규정 적용 판단(유권해석)이 필요한 문의
판단보류 = 애매하면 여기</t>
      </text>
    </comment>
    <comment ref="I4" authorId="0" shapeId="0">
      <text>
        <t>그 문의 1건을 처리하는 데 든 대략의 시간(분).
모르면 비워두세요.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46" customWidth="1" min="4" max="4"/>
    <col width="20" customWidth="1" min="5" max="5"/>
  </cols>
  <sheetData>
    <row r="2">
      <c r="B2" s="1" t="inlineStr">
        <is>
          <t>국외 HR 문의 분류 — 판정 가이드</t>
        </is>
      </c>
    </row>
    <row r="3">
      <c r="B3" s="2" t="inlineStr">
        <is>
          <t>AI 에이전트가 답할 수 있는 문의가 얼마나 되는지 확인하기 위한 조사입니다.</t>
        </is>
      </c>
    </row>
    <row r="5">
      <c r="B5" s="3" t="inlineStr">
        <is>
          <t>왜 하는가</t>
        </is>
      </c>
    </row>
    <row r="6">
      <c r="B6" s="4" t="inlineStr">
        <is>
          <t>국외근무직원 HR 에이전트를 만들기 전에, 담당자가 실제로 받는 문의 중</t>
        </is>
      </c>
    </row>
    <row r="7">
      <c r="B7" s="4" t="inlineStr">
        <is>
          <t>AI가 답할 수 있는 것이 얼마나 되는지를 먼저 확인합니다.</t>
        </is>
      </c>
    </row>
    <row r="8">
      <c r="B8" s="4" t="inlineStr">
        <is>
          <t>이 비율이 프로젝트 진행 여부를 결정합니다. 개발도 예산도 필요 없이 반나절이면 끝납니다.</t>
        </is>
      </c>
    </row>
    <row r="10">
      <c r="B10" s="3" t="inlineStr">
        <is>
          <t>어떻게 하는가</t>
        </is>
      </c>
    </row>
    <row r="11">
      <c r="B11" s="5" t="inlineStr">
        <is>
          <t>1.</t>
        </is>
      </c>
      <c r="C11" s="4" t="inlineStr">
        <is>
          <t>최근 받은 문의 30건을 아무거나 뽑습니다 (메신저·메일·유선 모두 포함).</t>
        </is>
      </c>
    </row>
    <row r="12">
      <c r="B12" s="5" t="inlineStr">
        <is>
          <t>2.</t>
        </is>
      </c>
      <c r="C12" s="4" t="inlineStr">
        <is>
          <t>'문의 분류' 시트에 한 줄씩 채웁니다. 노란색 칸만 채우면 됩니다.</t>
        </is>
      </c>
    </row>
    <row r="13">
      <c r="B13" s="5" t="inlineStr">
        <is>
          <t>3.</t>
        </is>
      </c>
      <c r="C13" s="4" t="inlineStr">
        <is>
          <t>등급(L1/L2/L3)은 아래 기준으로 판정합니다. 헷갈리면 '판단보류'로 두세요.</t>
        </is>
      </c>
    </row>
    <row r="14">
      <c r="B14" s="5" t="inlineStr">
        <is>
          <t>4.</t>
        </is>
      </c>
      <c r="C14" s="4" t="inlineStr">
        <is>
          <t>다 채우면 '집계' 시트에 결과가 자동으로 나옵니다.</t>
        </is>
      </c>
    </row>
    <row r="17">
      <c r="B17" s="3" t="inlineStr">
        <is>
          <t>등급 판정 기준</t>
        </is>
      </c>
    </row>
    <row r="18">
      <c r="B18" s="6" t="inlineStr">
        <is>
          <t>등급</t>
        </is>
      </c>
      <c r="C18" s="6" t="inlineStr">
        <is>
          <t>무엇인가</t>
        </is>
      </c>
      <c r="D18" s="6" t="inlineStr">
        <is>
          <t>예시</t>
        </is>
      </c>
      <c r="E18" s="6" t="inlineStr">
        <is>
          <t>AI가 답하나</t>
        </is>
      </c>
    </row>
    <row r="19" ht="58" customHeight="1">
      <c r="B19" s="7" t="inlineStr">
        <is>
          <t>L1</t>
        </is>
      </c>
      <c r="C19" s="8" t="inlineStr">
        <is>
          <t>규정에 그대로 쓰여 있는 내용.
조항을 찾아서 읽어주면 끝나는 문의.</t>
        </is>
      </c>
      <c r="D19" s="8" t="inlineStr">
        <is>
          <t>"주택수당 한도가 얼마인가요?"
"자녀 학자금 지원 기준이 어떻게 되나요?"
"체재비 지급 기준일이 언제인가요?"</t>
        </is>
      </c>
      <c r="E19" s="9" t="inlineStr">
        <is>
          <t>✅ 답한다
(조항 원문 + 소관부서)</t>
        </is>
      </c>
    </row>
    <row r="20" ht="58" customHeight="1">
      <c r="B20" s="10" t="inlineStr">
        <is>
          <t>L2</t>
        </is>
      </c>
      <c r="C20" s="8" t="inlineStr">
        <is>
          <t>우리 부서가 만든 절차·양식·일정 안내.
규정 해석이 아니라 실무 안내.</t>
        </is>
      </c>
      <c r="D20" s="8" t="inlineStr">
        <is>
          <t>"부임 전 제출 서류가 뭔가요?"
"이 신청서 양식 어디서 받나요?"
"복귀 신고는 언제까지 하나요?"</t>
        </is>
      </c>
      <c r="E20" s="9" t="inlineStr">
        <is>
          <t>✅ 답한다
(절차 + 양식 링크)</t>
        </is>
      </c>
    </row>
    <row r="21" ht="58" customHeight="1">
      <c r="B21" s="11" t="inlineStr">
        <is>
          <t>L3</t>
        </is>
      </c>
      <c r="C21" s="8" t="inlineStr">
        <is>
          <t>규정을 이 상황에 어떻게 적용할지
판단이 필요한 문의. 유권해석.</t>
        </is>
      </c>
      <c r="D21" s="8" t="inlineStr">
        <is>
          <t>"배우자가 현지 취업했는데 가족수당 되나요?"
"이 경우도 예외 승인 가능한가요?"
"제 상황이 여기 해당하나요?"</t>
        </is>
      </c>
      <c r="E21" s="9" t="inlineStr">
        <is>
          <t>❌ 답하지 않는다
(소관부서로 연결)</t>
        </is>
      </c>
    </row>
    <row r="22" ht="58" customHeight="1">
      <c r="B22" s="12" t="inlineStr">
        <is>
          <t>판단보류</t>
        </is>
      </c>
      <c r="C22" s="8" t="inlineStr">
        <is>
          <t>위 셋 중 어디인지 애매한 경우.
억지로 분류하지 말고 여기 두세요.</t>
        </is>
      </c>
      <c r="D22" s="8" t="inlineStr">
        <is>
          <t>판단이 갈리는 문의는 그 자체가 중요한 정보입니다.
나중에 함께 다시 봅니다.</t>
        </is>
      </c>
      <c r="E22" s="9" t="inlineStr">
        <is>
          <t>—</t>
        </is>
      </c>
    </row>
    <row r="25">
      <c r="B25" s="3" t="inlineStr">
        <is>
          <t>헷갈릴 때 이렇게 판단하세요</t>
        </is>
      </c>
    </row>
    <row r="26">
      <c r="C26" s="13" t="inlineStr">
        <is>
          <t>규정을 "읽어주면" 되나, "적용해줘야" 하나?</t>
        </is>
      </c>
      <c r="D26" s="14" t="inlineStr">
        <is>
          <t>읽어주면 됨 → L1  /  적용 판단 필요 → L3</t>
        </is>
      </c>
    </row>
    <row r="27">
      <c r="C27" s="13" t="inlineStr">
        <is>
          <t>"제 경우에는…" 이라는 말이 들어가나?</t>
        </is>
      </c>
      <c r="D27" s="14" t="inlineStr">
        <is>
          <t>들어가면 거의 L3입니다</t>
        </is>
      </c>
    </row>
    <row r="28">
      <c r="C28" s="13" t="inlineStr">
        <is>
          <t>답하려면 그 사람의 개인 사정을 알아야 하나?</t>
        </is>
      </c>
      <c r="D28" s="14" t="inlineStr">
        <is>
          <t>알아야 하면 L3</t>
        </is>
      </c>
    </row>
    <row r="29">
      <c r="C29" s="13" t="inlineStr">
        <is>
          <t>규정이 아니라 우리가 만든 안내서를 보고 답하나?</t>
        </is>
      </c>
      <c r="D29" s="14" t="inlineStr">
        <is>
          <t>그러면 L2</t>
        </is>
      </c>
    </row>
    <row r="30">
      <c r="C30" s="13" t="inlineStr">
        <is>
          <t>나도 확신이 없어서 HR에 물어봐야 했나?</t>
        </is>
      </c>
      <c r="D30" s="14" t="inlineStr">
        <is>
          <t>그러면 확실히 L3</t>
        </is>
      </c>
    </row>
    <row r="33">
      <c r="B33" s="3" t="inlineStr">
        <is>
          <t>결과 해석 — L1+L2 비율이 말해주는 것</t>
        </is>
      </c>
    </row>
    <row r="34">
      <c r="B34" s="15" t="inlineStr">
        <is>
          <t>L1+L2 비율</t>
        </is>
      </c>
      <c r="C34" s="15" t="inlineStr">
        <is>
          <t>의미</t>
        </is>
      </c>
      <c r="D34" s="15" t="inlineStr">
        <is>
          <t>다음 행동</t>
        </is>
      </c>
    </row>
    <row r="35">
      <c r="B35" s="16" t="inlineStr">
        <is>
          <t>70% 이상</t>
        </is>
      </c>
      <c r="C35" s="17" t="inlineStr">
        <is>
          <t>문의 대부분을 AI가 답할 수 있음</t>
        </is>
      </c>
      <c r="D35" s="17" t="inlineStr">
        <is>
          <t>진행. PRD대로 구축 착수</t>
        </is>
      </c>
    </row>
    <row r="36">
      <c r="B36" s="18" t="inlineStr">
        <is>
          <t>50 ~ 70%</t>
        </is>
      </c>
      <c r="C36" s="17" t="inlineStr">
        <is>
          <t>효과는 있으나 범위 조정 필요</t>
        </is>
      </c>
      <c r="D36" s="17" t="inlineStr">
        <is>
          <t>어떤 유형이 L3인지 보고 범위 재설정</t>
        </is>
      </c>
    </row>
    <row r="37">
      <c r="B37" s="19" t="inlineStr">
        <is>
          <t>50% 미만</t>
        </is>
      </c>
      <c r="C37" s="17" t="inlineStr">
        <is>
          <t>규정 Q&amp;A로는 효과가 작음</t>
        </is>
      </c>
      <c r="D37" s="17" t="inlineStr">
        <is>
          <t>중단 검토. 다른 접근 필요</t>
        </is>
      </c>
    </row>
    <row r="40">
      <c r="B40" s="20" t="inlineStr">
        <is>
          <t>※ 30건은 정밀 측정이 아니라 방향 확인용입니다. 경계값(50%, 70%) 근처가 나오면 건수를 늘려 다시 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2" customWidth="1" min="4" max="4"/>
    <col width="40" customWidth="1" min="5" max="5"/>
    <col width="13" customWidth="1" min="6" max="6"/>
    <col width="10" customWidth="1" min="7" max="7"/>
    <col width="26" customWidth="1" min="8" max="8"/>
    <col width="11" customWidth="1" min="9" max="9"/>
    <col width="10" customWidth="1" min="10" max="10"/>
    <col width="20" customWidth="1" min="11" max="11"/>
    <col width="18" customWidth="1" min="12" max="12"/>
  </cols>
  <sheetData>
    <row r="1">
      <c r="A1" s="21" t="inlineStr">
        <is>
          <t>국외 HR 문의 분류 — 최근 30건</t>
        </is>
      </c>
    </row>
    <row r="2">
      <c r="A2" s="20" t="inlineStr">
        <is>
          <t>노란색 칸만 채우세요.  등급 판정 기준은 「판정 가이드」 시트를 참고하세요.  5행은 작성 예시이니 지우고 6행부터 입력하세요.</t>
        </is>
      </c>
    </row>
    <row r="4" ht="30" customHeight="1">
      <c r="A4" s="6" t="inlineStr">
        <is>
          <t>No</t>
        </is>
      </c>
      <c r="B4" s="6" t="inlineStr">
        <is>
          <t>문의일자</t>
        </is>
      </c>
      <c r="C4" s="6" t="inlineStr">
        <is>
          <t>문의자 구분</t>
        </is>
      </c>
      <c r="D4" s="6" t="inlineStr">
        <is>
          <t>국가·점포</t>
        </is>
      </c>
      <c r="E4" s="6" t="inlineStr">
        <is>
          <t>문의 내용 (요약)</t>
        </is>
      </c>
      <c r="F4" s="6" t="inlineStr">
        <is>
          <t>문의 유형</t>
        </is>
      </c>
      <c r="G4" s="6" t="inlineStr">
        <is>
          <t>등급</t>
        </is>
      </c>
      <c r="H4" s="6" t="inlineStr">
        <is>
          <t>판정 근거</t>
        </is>
      </c>
      <c r="I4" s="6" t="inlineStr">
        <is>
          <t>소요시간(분)</t>
        </is>
      </c>
      <c r="J4" s="6" t="inlineStr">
        <is>
          <t>반복 문의</t>
        </is>
      </c>
      <c r="K4" s="6" t="inlineStr">
        <is>
          <t>근거 규정·조항</t>
        </is>
      </c>
      <c r="L4" s="6" t="inlineStr">
        <is>
          <t>비고</t>
        </is>
      </c>
    </row>
    <row r="5" ht="30" customHeight="1">
      <c r="A5" s="22" t="inlineStr">
        <is>
          <t>예시</t>
        </is>
      </c>
      <c r="B5" s="22" t="inlineStr">
        <is>
          <t>2026-07-15</t>
        </is>
      </c>
      <c r="C5" s="22" t="inlineStr">
        <is>
          <t>부임예정자</t>
        </is>
      </c>
      <c r="D5" s="22" t="inlineStr">
        <is>
          <t>인도네시아</t>
        </is>
      </c>
      <c r="E5" s="23" t="inlineStr">
        <is>
          <t>부임 전 제출해야 하는 서류가 무엇인지 문의</t>
        </is>
      </c>
      <c r="F5" s="22" t="inlineStr">
        <is>
          <t>부임·복귀</t>
        </is>
      </c>
      <c r="G5" s="22" t="inlineStr">
        <is>
          <t>L2</t>
        </is>
      </c>
      <c r="H5" s="23" t="inlineStr">
        <is>
          <t>규정 해석이 아니라 우리 안내서 기준 절차 안내</t>
        </is>
      </c>
      <c r="I5" s="22" t="n">
        <v>15</v>
      </c>
      <c r="J5" s="22" t="inlineStr">
        <is>
          <t>Y</t>
        </is>
      </c>
      <c r="K5" s="24" t="inlineStr">
        <is>
          <t>-</t>
        </is>
      </c>
      <c r="L5" s="23" t="inlineStr">
        <is>
          <t>동일 문의 이번 달 3건째</t>
        </is>
      </c>
    </row>
    <row r="6" ht="26" customHeight="1">
      <c r="A6" s="25" t="n">
        <v>1</v>
      </c>
      <c r="B6" s="26" t="n"/>
      <c r="C6" s="26" t="n"/>
      <c r="D6" s="26" t="n"/>
      <c r="E6" s="27" t="n"/>
      <c r="F6" s="26" t="n"/>
      <c r="G6" s="26" t="n"/>
      <c r="H6" s="27" t="n"/>
      <c r="I6" s="26" t="n"/>
      <c r="J6" s="26" t="n"/>
      <c r="K6" s="28" t="n"/>
      <c r="L6" s="27" t="n"/>
    </row>
    <row r="7" ht="26" customHeight="1">
      <c r="A7" s="25" t="n">
        <v>2</v>
      </c>
      <c r="B7" s="26" t="n"/>
      <c r="C7" s="26" t="n"/>
      <c r="D7" s="26" t="n"/>
      <c r="E7" s="27" t="n"/>
      <c r="F7" s="26" t="n"/>
      <c r="G7" s="26" t="n"/>
      <c r="H7" s="27" t="n"/>
      <c r="I7" s="26" t="n"/>
      <c r="J7" s="26" t="n"/>
      <c r="K7" s="28" t="n"/>
      <c r="L7" s="27" t="n"/>
    </row>
    <row r="8" ht="26" customHeight="1">
      <c r="A8" s="25" t="n">
        <v>3</v>
      </c>
      <c r="B8" s="26" t="n"/>
      <c r="C8" s="26" t="n"/>
      <c r="D8" s="26" t="n"/>
      <c r="E8" s="27" t="n"/>
      <c r="F8" s="26" t="n"/>
      <c r="G8" s="26" t="n"/>
      <c r="H8" s="27" t="n"/>
      <c r="I8" s="26" t="n"/>
      <c r="J8" s="26" t="n"/>
      <c r="K8" s="28" t="n"/>
      <c r="L8" s="27" t="n"/>
    </row>
    <row r="9" ht="26" customHeight="1">
      <c r="A9" s="25" t="n">
        <v>4</v>
      </c>
      <c r="B9" s="26" t="n"/>
      <c r="C9" s="26" t="n"/>
      <c r="D9" s="26" t="n"/>
      <c r="E9" s="27" t="n"/>
      <c r="F9" s="26" t="n"/>
      <c r="G9" s="26" t="n"/>
      <c r="H9" s="27" t="n"/>
      <c r="I9" s="26" t="n"/>
      <c r="J9" s="26" t="n"/>
      <c r="K9" s="28" t="n"/>
      <c r="L9" s="27" t="n"/>
    </row>
    <row r="10" ht="26" customHeight="1">
      <c r="A10" s="25" t="n">
        <v>5</v>
      </c>
      <c r="B10" s="26" t="n"/>
      <c r="C10" s="26" t="n"/>
      <c r="D10" s="26" t="n"/>
      <c r="E10" s="27" t="n"/>
      <c r="F10" s="26" t="n"/>
      <c r="G10" s="26" t="n"/>
      <c r="H10" s="27" t="n"/>
      <c r="I10" s="26" t="n"/>
      <c r="J10" s="26" t="n"/>
      <c r="K10" s="28" t="n"/>
      <c r="L10" s="27" t="n"/>
    </row>
    <row r="11" ht="26" customHeight="1">
      <c r="A11" s="25" t="n">
        <v>6</v>
      </c>
      <c r="B11" s="26" t="n"/>
      <c r="C11" s="26" t="n"/>
      <c r="D11" s="26" t="n"/>
      <c r="E11" s="27" t="n"/>
      <c r="F11" s="26" t="n"/>
      <c r="G11" s="26" t="n"/>
      <c r="H11" s="27" t="n"/>
      <c r="I11" s="26" t="n"/>
      <c r="J11" s="26" t="n"/>
      <c r="K11" s="28" t="n"/>
      <c r="L11" s="27" t="n"/>
    </row>
    <row r="12" ht="26" customHeight="1">
      <c r="A12" s="25" t="n">
        <v>7</v>
      </c>
      <c r="B12" s="26" t="n"/>
      <c r="C12" s="26" t="n"/>
      <c r="D12" s="26" t="n"/>
      <c r="E12" s="27" t="n"/>
      <c r="F12" s="26" t="n"/>
      <c r="G12" s="26" t="n"/>
      <c r="H12" s="27" t="n"/>
      <c r="I12" s="26" t="n"/>
      <c r="J12" s="26" t="n"/>
      <c r="K12" s="28" t="n"/>
      <c r="L12" s="27" t="n"/>
    </row>
    <row r="13" ht="26" customHeight="1">
      <c r="A13" s="25" t="n">
        <v>8</v>
      </c>
      <c r="B13" s="26" t="n"/>
      <c r="C13" s="26" t="n"/>
      <c r="D13" s="26" t="n"/>
      <c r="E13" s="27" t="n"/>
      <c r="F13" s="26" t="n"/>
      <c r="G13" s="26" t="n"/>
      <c r="H13" s="27" t="n"/>
      <c r="I13" s="26" t="n"/>
      <c r="J13" s="26" t="n"/>
      <c r="K13" s="28" t="n"/>
      <c r="L13" s="27" t="n"/>
    </row>
    <row r="14" ht="26" customHeight="1">
      <c r="A14" s="25" t="n">
        <v>9</v>
      </c>
      <c r="B14" s="26" t="n"/>
      <c r="C14" s="26" t="n"/>
      <c r="D14" s="26" t="n"/>
      <c r="E14" s="27" t="n"/>
      <c r="F14" s="26" t="n"/>
      <c r="G14" s="26" t="n"/>
      <c r="H14" s="27" t="n"/>
      <c r="I14" s="26" t="n"/>
      <c r="J14" s="26" t="n"/>
      <c r="K14" s="28" t="n"/>
      <c r="L14" s="27" t="n"/>
    </row>
    <row r="15" ht="26" customHeight="1">
      <c r="A15" s="25" t="n">
        <v>10</v>
      </c>
      <c r="B15" s="26" t="n"/>
      <c r="C15" s="26" t="n"/>
      <c r="D15" s="26" t="n"/>
      <c r="E15" s="27" t="n"/>
      <c r="F15" s="26" t="n"/>
      <c r="G15" s="26" t="n"/>
      <c r="H15" s="27" t="n"/>
      <c r="I15" s="26" t="n"/>
      <c r="J15" s="26" t="n"/>
      <c r="K15" s="28" t="n"/>
      <c r="L15" s="27" t="n"/>
    </row>
    <row r="16" ht="26" customHeight="1">
      <c r="A16" s="25" t="n">
        <v>11</v>
      </c>
      <c r="B16" s="26" t="n"/>
      <c r="C16" s="26" t="n"/>
      <c r="D16" s="26" t="n"/>
      <c r="E16" s="27" t="n"/>
      <c r="F16" s="26" t="n"/>
      <c r="G16" s="26" t="n"/>
      <c r="H16" s="27" t="n"/>
      <c r="I16" s="26" t="n"/>
      <c r="J16" s="26" t="n"/>
      <c r="K16" s="28" t="n"/>
      <c r="L16" s="27" t="n"/>
    </row>
    <row r="17" ht="26" customHeight="1">
      <c r="A17" s="25" t="n">
        <v>12</v>
      </c>
      <c r="B17" s="26" t="n"/>
      <c r="C17" s="26" t="n"/>
      <c r="D17" s="26" t="n"/>
      <c r="E17" s="27" t="n"/>
      <c r="F17" s="26" t="n"/>
      <c r="G17" s="26" t="n"/>
      <c r="H17" s="27" t="n"/>
      <c r="I17" s="26" t="n"/>
      <c r="J17" s="26" t="n"/>
      <c r="K17" s="28" t="n"/>
      <c r="L17" s="27" t="n"/>
    </row>
    <row r="18" ht="26" customHeight="1">
      <c r="A18" s="25" t="n">
        <v>13</v>
      </c>
      <c r="B18" s="26" t="n"/>
      <c r="C18" s="26" t="n"/>
      <c r="D18" s="26" t="n"/>
      <c r="E18" s="27" t="n"/>
      <c r="F18" s="26" t="n"/>
      <c r="G18" s="26" t="n"/>
      <c r="H18" s="27" t="n"/>
      <c r="I18" s="26" t="n"/>
      <c r="J18" s="26" t="n"/>
      <c r="K18" s="28" t="n"/>
      <c r="L18" s="27" t="n"/>
    </row>
    <row r="19" ht="26" customHeight="1">
      <c r="A19" s="25" t="n">
        <v>14</v>
      </c>
      <c r="B19" s="26" t="n"/>
      <c r="C19" s="26" t="n"/>
      <c r="D19" s="26" t="n"/>
      <c r="E19" s="27" t="n"/>
      <c r="F19" s="26" t="n"/>
      <c r="G19" s="26" t="n"/>
      <c r="H19" s="27" t="n"/>
      <c r="I19" s="26" t="n"/>
      <c r="J19" s="26" t="n"/>
      <c r="K19" s="28" t="n"/>
      <c r="L19" s="27" t="n"/>
    </row>
    <row r="20" ht="26" customHeight="1">
      <c r="A20" s="25" t="n">
        <v>15</v>
      </c>
      <c r="B20" s="26" t="n"/>
      <c r="C20" s="26" t="n"/>
      <c r="D20" s="26" t="n"/>
      <c r="E20" s="27" t="n"/>
      <c r="F20" s="26" t="n"/>
      <c r="G20" s="26" t="n"/>
      <c r="H20" s="27" t="n"/>
      <c r="I20" s="26" t="n"/>
      <c r="J20" s="26" t="n"/>
      <c r="K20" s="28" t="n"/>
      <c r="L20" s="27" t="n"/>
    </row>
    <row r="21" ht="26" customHeight="1">
      <c r="A21" s="25" t="n">
        <v>16</v>
      </c>
      <c r="B21" s="26" t="n"/>
      <c r="C21" s="26" t="n"/>
      <c r="D21" s="26" t="n"/>
      <c r="E21" s="27" t="n"/>
      <c r="F21" s="26" t="n"/>
      <c r="G21" s="26" t="n"/>
      <c r="H21" s="27" t="n"/>
      <c r="I21" s="26" t="n"/>
      <c r="J21" s="26" t="n"/>
      <c r="K21" s="28" t="n"/>
      <c r="L21" s="27" t="n"/>
    </row>
    <row r="22" ht="26" customHeight="1">
      <c r="A22" s="25" t="n">
        <v>17</v>
      </c>
      <c r="B22" s="26" t="n"/>
      <c r="C22" s="26" t="n"/>
      <c r="D22" s="26" t="n"/>
      <c r="E22" s="27" t="n"/>
      <c r="F22" s="26" t="n"/>
      <c r="G22" s="26" t="n"/>
      <c r="H22" s="27" t="n"/>
      <c r="I22" s="26" t="n"/>
      <c r="J22" s="26" t="n"/>
      <c r="K22" s="28" t="n"/>
      <c r="L22" s="27" t="n"/>
    </row>
    <row r="23" ht="26" customHeight="1">
      <c r="A23" s="25" t="n">
        <v>18</v>
      </c>
      <c r="B23" s="26" t="n"/>
      <c r="C23" s="26" t="n"/>
      <c r="D23" s="26" t="n"/>
      <c r="E23" s="27" t="n"/>
      <c r="F23" s="26" t="n"/>
      <c r="G23" s="26" t="n"/>
      <c r="H23" s="27" t="n"/>
      <c r="I23" s="26" t="n"/>
      <c r="J23" s="26" t="n"/>
      <c r="K23" s="28" t="n"/>
      <c r="L23" s="27" t="n"/>
    </row>
    <row r="24" ht="26" customHeight="1">
      <c r="A24" s="25" t="n">
        <v>19</v>
      </c>
      <c r="B24" s="26" t="n"/>
      <c r="C24" s="26" t="n"/>
      <c r="D24" s="26" t="n"/>
      <c r="E24" s="27" t="n"/>
      <c r="F24" s="26" t="n"/>
      <c r="G24" s="26" t="n"/>
      <c r="H24" s="27" t="n"/>
      <c r="I24" s="26" t="n"/>
      <c r="J24" s="26" t="n"/>
      <c r="K24" s="28" t="n"/>
      <c r="L24" s="27" t="n"/>
    </row>
    <row r="25" ht="26" customHeight="1">
      <c r="A25" s="25" t="n">
        <v>20</v>
      </c>
      <c r="B25" s="26" t="n"/>
      <c r="C25" s="26" t="n"/>
      <c r="D25" s="26" t="n"/>
      <c r="E25" s="27" t="n"/>
      <c r="F25" s="26" t="n"/>
      <c r="G25" s="26" t="n"/>
      <c r="H25" s="27" t="n"/>
      <c r="I25" s="26" t="n"/>
      <c r="J25" s="26" t="n"/>
      <c r="K25" s="28" t="n"/>
      <c r="L25" s="27" t="n"/>
    </row>
    <row r="26" ht="26" customHeight="1">
      <c r="A26" s="25" t="n">
        <v>21</v>
      </c>
      <c r="B26" s="26" t="n"/>
      <c r="C26" s="26" t="n"/>
      <c r="D26" s="26" t="n"/>
      <c r="E26" s="27" t="n"/>
      <c r="F26" s="26" t="n"/>
      <c r="G26" s="26" t="n"/>
      <c r="H26" s="27" t="n"/>
      <c r="I26" s="26" t="n"/>
      <c r="J26" s="26" t="n"/>
      <c r="K26" s="28" t="n"/>
      <c r="L26" s="27" t="n"/>
    </row>
    <row r="27" ht="26" customHeight="1">
      <c r="A27" s="25" t="n">
        <v>22</v>
      </c>
      <c r="B27" s="26" t="n"/>
      <c r="C27" s="26" t="n"/>
      <c r="D27" s="26" t="n"/>
      <c r="E27" s="27" t="n"/>
      <c r="F27" s="26" t="n"/>
      <c r="G27" s="26" t="n"/>
      <c r="H27" s="27" t="n"/>
      <c r="I27" s="26" t="n"/>
      <c r="J27" s="26" t="n"/>
      <c r="K27" s="28" t="n"/>
      <c r="L27" s="27" t="n"/>
    </row>
    <row r="28" ht="26" customHeight="1">
      <c r="A28" s="25" t="n">
        <v>23</v>
      </c>
      <c r="B28" s="26" t="n"/>
      <c r="C28" s="26" t="n"/>
      <c r="D28" s="26" t="n"/>
      <c r="E28" s="27" t="n"/>
      <c r="F28" s="26" t="n"/>
      <c r="G28" s="26" t="n"/>
      <c r="H28" s="27" t="n"/>
      <c r="I28" s="26" t="n"/>
      <c r="J28" s="26" t="n"/>
      <c r="K28" s="28" t="n"/>
      <c r="L28" s="27" t="n"/>
    </row>
    <row r="29" ht="26" customHeight="1">
      <c r="A29" s="25" t="n">
        <v>24</v>
      </c>
      <c r="B29" s="26" t="n"/>
      <c r="C29" s="26" t="n"/>
      <c r="D29" s="26" t="n"/>
      <c r="E29" s="27" t="n"/>
      <c r="F29" s="26" t="n"/>
      <c r="G29" s="26" t="n"/>
      <c r="H29" s="27" t="n"/>
      <c r="I29" s="26" t="n"/>
      <c r="J29" s="26" t="n"/>
      <c r="K29" s="28" t="n"/>
      <c r="L29" s="27" t="n"/>
    </row>
    <row r="30" ht="26" customHeight="1">
      <c r="A30" s="25" t="n">
        <v>25</v>
      </c>
      <c r="B30" s="26" t="n"/>
      <c r="C30" s="26" t="n"/>
      <c r="D30" s="26" t="n"/>
      <c r="E30" s="27" t="n"/>
      <c r="F30" s="26" t="n"/>
      <c r="G30" s="26" t="n"/>
      <c r="H30" s="27" t="n"/>
      <c r="I30" s="26" t="n"/>
      <c r="J30" s="26" t="n"/>
      <c r="K30" s="28" t="n"/>
      <c r="L30" s="27" t="n"/>
    </row>
    <row r="31" ht="26" customHeight="1">
      <c r="A31" s="25" t="n">
        <v>26</v>
      </c>
      <c r="B31" s="26" t="n"/>
      <c r="C31" s="26" t="n"/>
      <c r="D31" s="26" t="n"/>
      <c r="E31" s="27" t="n"/>
      <c r="F31" s="26" t="n"/>
      <c r="G31" s="26" t="n"/>
      <c r="H31" s="27" t="n"/>
      <c r="I31" s="26" t="n"/>
      <c r="J31" s="26" t="n"/>
      <c r="K31" s="28" t="n"/>
      <c r="L31" s="27" t="n"/>
    </row>
    <row r="32" ht="26" customHeight="1">
      <c r="A32" s="25" t="n">
        <v>27</v>
      </c>
      <c r="B32" s="26" t="n"/>
      <c r="C32" s="26" t="n"/>
      <c r="D32" s="26" t="n"/>
      <c r="E32" s="27" t="n"/>
      <c r="F32" s="26" t="n"/>
      <c r="G32" s="26" t="n"/>
      <c r="H32" s="27" t="n"/>
      <c r="I32" s="26" t="n"/>
      <c r="J32" s="26" t="n"/>
      <c r="K32" s="28" t="n"/>
      <c r="L32" s="27" t="n"/>
    </row>
    <row r="33" ht="26" customHeight="1">
      <c r="A33" s="25" t="n">
        <v>28</v>
      </c>
      <c r="B33" s="26" t="n"/>
      <c r="C33" s="26" t="n"/>
      <c r="D33" s="26" t="n"/>
      <c r="E33" s="27" t="n"/>
      <c r="F33" s="26" t="n"/>
      <c r="G33" s="26" t="n"/>
      <c r="H33" s="27" t="n"/>
      <c r="I33" s="26" t="n"/>
      <c r="J33" s="26" t="n"/>
      <c r="K33" s="28" t="n"/>
      <c r="L33" s="27" t="n"/>
    </row>
    <row r="34" ht="26" customHeight="1">
      <c r="A34" s="25" t="n">
        <v>29</v>
      </c>
      <c r="B34" s="26" t="n"/>
      <c r="C34" s="26" t="n"/>
      <c r="D34" s="26" t="n"/>
      <c r="E34" s="27" t="n"/>
      <c r="F34" s="26" t="n"/>
      <c r="G34" s="26" t="n"/>
      <c r="H34" s="27" t="n"/>
      <c r="I34" s="26" t="n"/>
      <c r="J34" s="26" t="n"/>
      <c r="K34" s="28" t="n"/>
      <c r="L34" s="27" t="n"/>
    </row>
    <row r="35" ht="26" customHeight="1">
      <c r="A35" s="25" t="n">
        <v>30</v>
      </c>
      <c r="B35" s="26" t="n"/>
      <c r="C35" s="26" t="n"/>
      <c r="D35" s="26" t="n"/>
      <c r="E35" s="27" t="n"/>
      <c r="F35" s="26" t="n"/>
      <c r="G35" s="26" t="n"/>
      <c r="H35" s="27" t="n"/>
      <c r="I35" s="26" t="n"/>
      <c r="J35" s="26" t="n"/>
      <c r="K35" s="28" t="n"/>
      <c r="L35" s="27" t="n"/>
    </row>
  </sheetData>
  <autoFilter ref="A4:L35"/>
  <dataValidations count="4">
    <dataValidation sqref="C6:C35" showDropDown="0" showInputMessage="0" showErrorMessage="1" allowBlank="1" errorTitle="목록에서 선택" error="목록에 있는 값만 입력할 수 있습니다." type="list">
      <formula1>"부임예정자,복귀예정자,근무중 직원,현지 RM,기타"</formula1>
    </dataValidation>
    <dataValidation sqref="F6:F35" showDropDown="0" showInputMessage="0" showErrorMessage="1" allowBlank="1" errorTitle="목록에서 선택" error="목록에 있는 값만 입력할 수 있습니다." type="list">
      <formula1>"부임·복귀,보수·복지,인사·발령,계약·사택,출장,기타"</formula1>
    </dataValidation>
    <dataValidation sqref="G6:G35" showDropDown="0" showInputMessage="0" showErrorMessage="1" allowBlank="1" errorTitle="목록에서 선택" error="L1 / L2 / L3 / 판단보류 중에서 선택하세요." type="list">
      <formula1>"L1,L2,L3,판단보류"</formula1>
    </dataValidation>
    <dataValidation sqref="J6:J35" showDropDown="0" showInputMessage="0" showErrorMessage="1" allowBlank="1" errorTitle="목록에서 선택" error="Y 또는 N만 입력하세요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B2:E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34" customWidth="1" min="5" max="5"/>
    <col width="14" customWidth="1" min="6" max="6"/>
  </cols>
  <sheetData>
    <row r="2">
      <c r="B2" s="1" t="inlineStr">
        <is>
          <t>집계 결과</t>
        </is>
      </c>
    </row>
    <row r="3">
      <c r="B3" s="20" t="inlineStr">
        <is>
          <t>「문의 분류」 시트를 채우면 자동으로 계산됩니다.</t>
        </is>
      </c>
    </row>
    <row r="5">
      <c r="B5" s="3" t="inlineStr">
        <is>
          <t>① 등급 분포</t>
        </is>
      </c>
    </row>
    <row r="6">
      <c r="B6" s="15" t="inlineStr">
        <is>
          <t>등급</t>
        </is>
      </c>
      <c r="C6" s="15" t="inlineStr">
        <is>
          <t>건수</t>
        </is>
      </c>
      <c r="D6" s="15" t="inlineStr">
        <is>
          <t>비율</t>
        </is>
      </c>
    </row>
    <row r="7">
      <c r="B7" s="16" t="inlineStr">
        <is>
          <t>L1</t>
        </is>
      </c>
      <c r="C7" s="29">
        <f>COUNTIF('문의 분류'!$G$6:$G$35,"L1")</f>
        <v/>
      </c>
      <c r="D7" s="30">
        <f>IFERROR(C7/$C$11,0)</f>
        <v/>
      </c>
    </row>
    <row r="8">
      <c r="B8" s="31" t="inlineStr">
        <is>
          <t>L2</t>
        </is>
      </c>
      <c r="C8" s="29">
        <f>COUNTIF('문의 분류'!$G$6:$G$35,"L2")</f>
        <v/>
      </c>
      <c r="D8" s="30">
        <f>IFERROR(C8/$C$11,0)</f>
        <v/>
      </c>
    </row>
    <row r="9">
      <c r="B9" s="19" t="inlineStr">
        <is>
          <t>L3</t>
        </is>
      </c>
      <c r="C9" s="29">
        <f>COUNTIF('문의 분류'!$G$6:$G$35,"L3")</f>
        <v/>
      </c>
      <c r="D9" s="30">
        <f>IFERROR(C9/$C$11,0)</f>
        <v/>
      </c>
    </row>
    <row r="10">
      <c r="B10" s="32" t="inlineStr">
        <is>
          <t>판단보류</t>
        </is>
      </c>
      <c r="C10" s="29">
        <f>COUNTIF('문의 분류'!$G$6:$G$35,"판단보류")</f>
        <v/>
      </c>
      <c r="D10" s="30">
        <f>IFERROR(C10/$C$11,0)</f>
        <v/>
      </c>
    </row>
    <row r="11">
      <c r="B11" s="15" t="inlineStr">
        <is>
          <t>합계</t>
        </is>
      </c>
      <c r="C11" s="15">
        <f>COUNTA('문의 분류'!$G$6:$G$35)</f>
        <v/>
      </c>
      <c r="D11" s="33">
        <f>IFERROR(C11/$C$11,0)</f>
        <v/>
      </c>
    </row>
    <row r="13">
      <c r="B13" s="3" t="inlineStr">
        <is>
          <t>② 핵심 지표 — AI가 답할 수 있는 비율</t>
        </is>
      </c>
    </row>
    <row r="14" ht="30" customHeight="1">
      <c r="B14" s="34" t="inlineStr">
        <is>
          <t>L1 + L2 비율</t>
        </is>
      </c>
      <c r="C14" s="35">
        <f>IFERROR((C7+C8)/$C$11,0)</f>
        <v/>
      </c>
      <c r="E14" s="2" t="inlineStr">
        <is>
          <t>← 이 숫자 하나가 프로젝트 진행 여부를 결정합니다</t>
        </is>
      </c>
    </row>
    <row r="15" ht="26" customHeight="1">
      <c r="B15" s="34" t="inlineStr">
        <is>
          <t>판정</t>
        </is>
      </c>
      <c r="C15" s="36">
        <f>IF($C$11=0,"입력 대기",IF(C14&gt;=0.7,"진행 — PRD대로 구축 착수",IF(C14&gt;=0.5,"재검토 — 범위 조정 필요","중단 검토 — 다른 접근 필요")))</f>
        <v/>
      </c>
      <c r="D15" s="37" t="n"/>
      <c r="E15" s="38" t="n"/>
    </row>
    <row r="16">
      <c r="B16" s="17" t="inlineStr">
        <is>
          <t>판단보류 비율</t>
        </is>
      </c>
      <c r="C16" s="30">
        <f>IFERROR(C10/$C$11,0)</f>
        <v/>
      </c>
      <c r="E16" s="20" t="inlineStr">
        <is>
          <t>20%를 넘으면 판정 기준 자체를 다시 봐야 합니다</t>
        </is>
      </c>
    </row>
    <row r="18">
      <c r="B18" s="3" t="inlineStr">
        <is>
          <t>③ 문의 유형별 분포</t>
        </is>
      </c>
    </row>
    <row r="19">
      <c r="B19" s="15" t="inlineStr">
        <is>
          <t>유형</t>
        </is>
      </c>
      <c r="C19" s="15" t="inlineStr">
        <is>
          <t>건수</t>
        </is>
      </c>
      <c r="D19" s="15" t="inlineStr">
        <is>
          <t>비율</t>
        </is>
      </c>
    </row>
    <row r="20">
      <c r="B20" s="17" t="inlineStr">
        <is>
          <t>부임·복귀</t>
        </is>
      </c>
      <c r="C20" s="29">
        <f>COUNTIF('문의 분류'!$F$6:$F$35,"부임·복귀")</f>
        <v/>
      </c>
      <c r="D20" s="30">
        <f>IFERROR(C20/$C$11,0)</f>
        <v/>
      </c>
    </row>
    <row r="21">
      <c r="B21" s="17" t="inlineStr">
        <is>
          <t>보수·복지</t>
        </is>
      </c>
      <c r="C21" s="29">
        <f>COUNTIF('문의 분류'!$F$6:$F$35,"보수·복지")</f>
        <v/>
      </c>
      <c r="D21" s="30">
        <f>IFERROR(C21/$C$11,0)</f>
        <v/>
      </c>
    </row>
    <row r="22">
      <c r="B22" s="17" t="inlineStr">
        <is>
          <t>인사·발령</t>
        </is>
      </c>
      <c r="C22" s="29">
        <f>COUNTIF('문의 분류'!$F$6:$F$35,"인사·발령")</f>
        <v/>
      </c>
      <c r="D22" s="30">
        <f>IFERROR(C22/$C$11,0)</f>
        <v/>
      </c>
    </row>
    <row r="23">
      <c r="B23" s="17" t="inlineStr">
        <is>
          <t>계약·사택</t>
        </is>
      </c>
      <c r="C23" s="29">
        <f>COUNTIF('문의 분류'!$F$6:$F$35,"계약·사택")</f>
        <v/>
      </c>
      <c r="D23" s="30">
        <f>IFERROR(C23/$C$11,0)</f>
        <v/>
      </c>
    </row>
    <row r="24">
      <c r="B24" s="17" t="inlineStr">
        <is>
          <t>출장</t>
        </is>
      </c>
      <c r="C24" s="29">
        <f>COUNTIF('문의 분류'!$F$6:$F$35,"출장")</f>
        <v/>
      </c>
      <c r="D24" s="30">
        <f>IFERROR(C24/$C$11,0)</f>
        <v/>
      </c>
    </row>
    <row r="25">
      <c r="B25" s="17" t="inlineStr">
        <is>
          <t>기타</t>
        </is>
      </c>
      <c r="C25" s="29">
        <f>COUNTIF('문의 분류'!$F$6:$F$35,"기타")</f>
        <v/>
      </c>
      <c r="D25" s="30">
        <f>IFERROR(C25/$C$11,0)</f>
        <v/>
      </c>
    </row>
    <row r="27">
      <c r="B27" s="3" t="inlineStr">
        <is>
          <t>④ 문의자 구분별 분포</t>
        </is>
      </c>
    </row>
    <row r="28">
      <c r="B28" s="15" t="inlineStr">
        <is>
          <t>구분</t>
        </is>
      </c>
      <c r="C28" s="15" t="inlineStr">
        <is>
          <t>건수</t>
        </is>
      </c>
      <c r="D28" s="15" t="inlineStr">
        <is>
          <t>비율</t>
        </is>
      </c>
    </row>
    <row r="29">
      <c r="B29" s="17" t="inlineStr">
        <is>
          <t>부임예정자</t>
        </is>
      </c>
      <c r="C29" s="29">
        <f>COUNTIF('문의 분류'!$C$6:$C$35,"부임예정자")</f>
        <v/>
      </c>
      <c r="D29" s="30">
        <f>IFERROR(C29/$C$11,0)</f>
        <v/>
      </c>
    </row>
    <row r="30">
      <c r="B30" s="17" t="inlineStr">
        <is>
          <t>복귀예정자</t>
        </is>
      </c>
      <c r="C30" s="29">
        <f>COUNTIF('문의 분류'!$C$6:$C$35,"복귀예정자")</f>
        <v/>
      </c>
      <c r="D30" s="30">
        <f>IFERROR(C30/$C$11,0)</f>
        <v/>
      </c>
    </row>
    <row r="31">
      <c r="B31" s="17" t="inlineStr">
        <is>
          <t>근무중 직원</t>
        </is>
      </c>
      <c r="C31" s="29">
        <f>COUNTIF('문의 분류'!$C$6:$C$35,"근무중 직원")</f>
        <v/>
      </c>
      <c r="D31" s="30">
        <f>IFERROR(C31/$C$11,0)</f>
        <v/>
      </c>
    </row>
    <row r="32">
      <c r="B32" s="17" t="inlineStr">
        <is>
          <t>현지 RM</t>
        </is>
      </c>
      <c r="C32" s="29">
        <f>COUNTIF('문의 분류'!$C$6:$C$35,"현지 RM")</f>
        <v/>
      </c>
      <c r="D32" s="30">
        <f>IFERROR(C32/$C$11,0)</f>
        <v/>
      </c>
    </row>
    <row r="33">
      <c r="B33" s="17" t="inlineStr">
        <is>
          <t>기타</t>
        </is>
      </c>
      <c r="C33" s="29">
        <f>COUNTIF('문의 분류'!$C$6:$C$35,"기타")</f>
        <v/>
      </c>
      <c r="D33" s="30">
        <f>IFERROR(C33/$C$11,0)</f>
        <v/>
      </c>
    </row>
    <row r="35">
      <c r="B35" s="3" t="inlineStr">
        <is>
          <t>⑤ 업무 부담 (참고)</t>
        </is>
      </c>
    </row>
    <row r="36">
      <c r="B36" s="17" t="inlineStr">
        <is>
          <t>총 소요시간(분)</t>
        </is>
      </c>
      <c r="C36" s="39">
        <f>SUM('문의 분류'!$I$6:$I$35)</f>
        <v/>
      </c>
    </row>
    <row r="37">
      <c r="B37" s="17" t="inlineStr">
        <is>
          <t>건당 평균(분)</t>
        </is>
      </c>
      <c r="C37" s="40">
        <f>IFERROR(AVERAGE('문의 분류'!$I$6:$I$35),0)</f>
        <v/>
      </c>
    </row>
    <row r="38">
      <c r="B38" s="17" t="inlineStr">
        <is>
          <t>L3에 쓴 시간(분)</t>
        </is>
      </c>
      <c r="C38" s="39">
        <f>SUMIF('문의 분류'!$G$6:$G$35,"L3",'문의 분류'!$I$6:$I$35)</f>
        <v/>
      </c>
      <c r="E38" s="20" t="inlineStr">
        <is>
          <t>AI로 줄일 수 없는 시간</t>
        </is>
      </c>
    </row>
    <row r="39">
      <c r="B39" s="17" t="inlineStr">
        <is>
          <t>L1+L2에 쓴 시간(분)</t>
        </is>
      </c>
      <c r="C39" s="39">
        <f>SUMIF('문의 분류'!$G$6:$G$35,"L1",'문의 분류'!$I$6:$I$35)+SUMIF('문의 분류'!$G$6:$G$35,"L2",'문의 분류'!$I$6:$I$35)</f>
        <v/>
      </c>
      <c r="E39" s="20" t="inlineStr">
        <is>
          <t>← 절감 가능한 시간의 상한</t>
        </is>
      </c>
    </row>
    <row r="40">
      <c r="B40" s="17" t="inlineStr">
        <is>
          <t>반복 문의 건수</t>
        </is>
      </c>
      <c r="C40" s="39">
        <f>COUNTIF('문의 분류'!$J$6:$J$35,"Y")</f>
        <v/>
      </c>
    </row>
    <row r="41">
      <c r="B41" s="17" t="inlineStr">
        <is>
          <t>반복 문의 비율</t>
        </is>
      </c>
      <c r="C41" s="30">
        <f>IFERROR(C40/$C$11,0)</f>
        <v/>
      </c>
      <c r="E41" s="20" t="inlineStr">
        <is>
          <t>높을수록 셀프서비스 효과가 큽니다</t>
        </is>
      </c>
    </row>
    <row r="44">
      <c r="B44" s="3" t="inlineStr">
        <is>
          <t>다음 단계</t>
        </is>
      </c>
    </row>
    <row r="45">
      <c r="B45" s="41" t="inlineStr">
        <is>
          <t>•</t>
        </is>
      </c>
      <c r="C45" s="4" t="inlineStr">
        <is>
          <t>L1+L2가 70% 이상이면 → PRD대로 진행합니다.</t>
        </is>
      </c>
    </row>
    <row r="46">
      <c r="B46" s="41" t="inlineStr">
        <is>
          <t>•</t>
        </is>
      </c>
      <c r="C46" s="4" t="inlineStr">
        <is>
          <t>50~70%면 → L3로 분류된 문의를 모아 어떤 유형인지 보고, 그 부분을 범위에서 뺍니다.</t>
        </is>
      </c>
    </row>
    <row r="47">
      <c r="B47" s="41" t="inlineStr">
        <is>
          <t>•</t>
        </is>
      </c>
      <c r="C47" s="4" t="inlineStr">
        <is>
          <t>50% 미만이면 → 규정 Q&amp;A 말고 다른 접근을 찾아야 합니다.</t>
        </is>
      </c>
    </row>
    <row r="48">
      <c r="B48" s="41" t="inlineStr">
        <is>
          <t>•</t>
        </is>
      </c>
      <c r="C48" s="4" t="inlineStr">
        <is>
          <t>판단보류가 많으면 → 그 문의들을 함께 보면서 판정 기준을 다듬습니다.</t>
        </is>
      </c>
    </row>
  </sheetData>
  <mergeCells count="1">
    <mergeCell ref="C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2026-07-28T08:19:39Z</dcterms:created>
  <dcterms:modified xsi:type="dcterms:W3CDTF">2026-07-28T08:19:39Z</dcterms:modified>
</cp:coreProperties>
</file>